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315783\Gear-Eagle\"/>
    </mc:Choice>
  </mc:AlternateContent>
  <xr:revisionPtr revIDLastSave="0" documentId="13_ncr:1_{4005DD28-3B56-49BF-B0A7-59FCDFAF15DE}" xr6:coauthVersionLast="47" xr6:coauthVersionMax="47" xr10:uidLastSave="{00000000-0000-0000-0000-000000000000}"/>
  <bookViews>
    <workbookView xWindow="-120" yWindow="-120" windowWidth="29040" windowHeight="15720" xr2:uid="{F6A12270-2864-41C2-9158-BB7C559B5FBD}"/>
  </bookViews>
  <sheets>
    <sheet name="Roles" sheetId="3" r:id="rId1"/>
    <sheet name="Estimacion por tareas" sheetId="2" r:id="rId2"/>
    <sheet name="Costos de fase" sheetId="4" r:id="rId3"/>
    <sheet name="Cronograma" sheetId="5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3" l="1"/>
  <c r="C36" i="3"/>
  <c r="C28" i="3"/>
  <c r="C20" i="3"/>
  <c r="C12" i="3"/>
  <c r="N6" i="3"/>
  <c r="N4" i="3"/>
  <c r="N5" i="3"/>
  <c r="O6" i="3"/>
  <c r="P6" i="3" s="1"/>
  <c r="M5" i="3"/>
  <c r="M6" i="3"/>
  <c r="M4" i="3"/>
  <c r="J4" i="3"/>
  <c r="J6" i="3"/>
  <c r="O7" i="3"/>
  <c r="P7" i="3" s="1"/>
  <c r="J5" i="3"/>
  <c r="G10" i="2"/>
  <c r="G9" i="2"/>
  <c r="G8" i="2"/>
  <c r="G7" i="2"/>
  <c r="G6" i="2"/>
  <c r="G5" i="2"/>
  <c r="G4" i="2"/>
  <c r="G3" i="2"/>
  <c r="O5" i="3" l="1"/>
  <c r="O4" i="3"/>
  <c r="G15" i="3"/>
  <c r="P4" i="3" l="1"/>
  <c r="G13" i="3"/>
  <c r="G14" i="3"/>
  <c r="P5" i="3"/>
</calcChain>
</file>

<file path=xl/sharedStrings.xml><?xml version="1.0" encoding="utf-8"?>
<sst xmlns="http://schemas.openxmlformats.org/spreadsheetml/2006/main" count="121" uniqueCount="71">
  <si>
    <t>Concepto</t>
  </si>
  <si>
    <t>Valor</t>
  </si>
  <si>
    <t>Salario desarrollador junior</t>
  </si>
  <si>
    <t>Horas laborales mensuales</t>
  </si>
  <si>
    <t>Valor hora base</t>
  </si>
  <si>
    <t>Tarifa por hora proyecto</t>
  </si>
  <si>
    <t>Total horas estimadas</t>
  </si>
  <si>
    <t>Costo total proyecto</t>
  </si>
  <si>
    <t>ID</t>
  </si>
  <si>
    <t>Tarea</t>
  </si>
  <si>
    <t>Fase</t>
  </si>
  <si>
    <t>Horas estimadas</t>
  </si>
  <si>
    <t>Tarifa hora</t>
  </si>
  <si>
    <t>Costo</t>
  </si>
  <si>
    <t>Análisis de requerimientos</t>
  </si>
  <si>
    <t>Planeación</t>
  </si>
  <si>
    <t>Diseño de base de datos</t>
  </si>
  <si>
    <t>Diseño</t>
  </si>
  <si>
    <t>Diseño interfaz usuario</t>
  </si>
  <si>
    <t>Desarrollo backend</t>
  </si>
  <si>
    <t>Desarrollo</t>
  </si>
  <si>
    <t>Desarrollo frontend</t>
  </si>
  <si>
    <t>Sistema de login</t>
  </si>
  <si>
    <t>Pruebas del sistema</t>
  </si>
  <si>
    <t>Pruebas</t>
  </si>
  <si>
    <t>Documentación</t>
  </si>
  <si>
    <t>Analistas</t>
  </si>
  <si>
    <t>Desarrolladores Junior</t>
  </si>
  <si>
    <t>Arquitecto Sotfware</t>
  </si>
  <si>
    <t>Testing's</t>
  </si>
  <si>
    <t>Descripción</t>
  </si>
  <si>
    <t>Planeación y análisis</t>
  </si>
  <si>
    <t>Identificación de requerimientos</t>
  </si>
  <si>
    <t>Diseño del sistema</t>
  </si>
  <si>
    <t>Diseño base de datos e interfaz</t>
  </si>
  <si>
    <t>Backend, frontend y login</t>
  </si>
  <si>
    <t>Validación del sistema</t>
  </si>
  <si>
    <t>Elaboración de documentos finales</t>
  </si>
  <si>
    <t>Horas</t>
  </si>
  <si>
    <t>Inicio</t>
  </si>
  <si>
    <t>Fin</t>
  </si>
  <si>
    <t>Análisis requerimientos</t>
  </si>
  <si>
    <t>Diseño base datos</t>
  </si>
  <si>
    <t>Diseño UI</t>
  </si>
  <si>
    <t>Backend</t>
  </si>
  <si>
    <t>Frontend</t>
  </si>
  <si>
    <t>Login</t>
  </si>
  <si>
    <t>Testing</t>
  </si>
  <si>
    <t>SEGURIDAD SOCIAL</t>
  </si>
  <si>
    <t>PRESTACIONES SOCIALES</t>
  </si>
  <si>
    <t>PARAFISCALES</t>
  </si>
  <si>
    <t>ROLES</t>
  </si>
  <si>
    <t>PESION (12%)</t>
  </si>
  <si>
    <t>SALUD(8-5)</t>
  </si>
  <si>
    <t>ARL(0,5 -1%)</t>
  </si>
  <si>
    <t>CAJA DE COMPENSACION(4%)</t>
  </si>
  <si>
    <t>TOTAL</t>
  </si>
  <si>
    <t>ICBF  (%3)</t>
  </si>
  <si>
    <t>SENA (%2)</t>
  </si>
  <si>
    <t>TOTAL HORAS (160)</t>
  </si>
  <si>
    <t>Rol</t>
  </si>
  <si>
    <t>* 12 MESES</t>
  </si>
  <si>
    <t>COSTO ANUAL</t>
  </si>
  <si>
    <t>PRIMA (8.33%)</t>
  </si>
  <si>
    <t>CESANTIAS (8.33%)</t>
  </si>
  <si>
    <t>INTERESES CESANTIAS (1%)</t>
  </si>
  <si>
    <t>VACACIONES (4.17%)</t>
  </si>
  <si>
    <t>Prestacion de servicios</t>
  </si>
  <si>
    <t>TIPOS DE CONTRATO</t>
  </si>
  <si>
    <t>Indefinido</t>
  </si>
  <si>
    <t>SALARIO-HONORARIOS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</si>
</sst>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240A]\ * #,##0.00_-;\-[$$-240A]\ * #,##0.00_-;_-[$$-240A]\ * &quot;-&quot;??_-;_-@_-"/>
    <numFmt numFmtId="165" formatCode="_-[$$-240A]\ * #,##0_-;\-[$$-240A]\ * #,##0_-;_-[$$-240A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2" tint="-9.9978637043366805E-2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4" borderId="13" xfId="0" applyFont="1" applyFill="1" applyBorder="1"/>
    <xf numFmtId="0" fontId="0" fillId="3" borderId="13" xfId="0" applyFont="1" applyFill="1" applyBorder="1"/>
    <xf numFmtId="164" fontId="0" fillId="0" borderId="1" xfId="0" applyNumberFormat="1" applyBorder="1"/>
    <xf numFmtId="164" fontId="0" fillId="0" borderId="1" xfId="0" applyNumberFormat="1" applyBorder="1" applyAlignment="1">
      <alignment vertical="center" wrapText="1"/>
    </xf>
    <xf numFmtId="0" fontId="0" fillId="3" borderId="15" xfId="0" applyFont="1" applyFill="1" applyBorder="1"/>
    <xf numFmtId="164" fontId="0" fillId="0" borderId="16" xfId="0" applyNumberFormat="1" applyBorder="1" applyAlignment="1">
      <alignment vertical="center" wrapText="1"/>
    </xf>
    <xf numFmtId="165" fontId="0" fillId="0" borderId="0" xfId="0" applyNumberFormat="1"/>
    <xf numFmtId="165" fontId="0" fillId="0" borderId="1" xfId="0" applyNumberFormat="1" applyBorder="1"/>
    <xf numFmtId="165" fontId="0" fillId="0" borderId="14" xfId="0" applyNumberFormat="1" applyBorder="1"/>
    <xf numFmtId="165" fontId="0" fillId="0" borderId="16" xfId="0" applyNumberFormat="1" applyBorder="1"/>
    <xf numFmtId="165" fontId="0" fillId="0" borderId="17" xfId="0" applyNumberFormat="1" applyBorder="1"/>
    <xf numFmtId="165" fontId="0" fillId="0" borderId="1" xfId="0" applyNumberFormat="1" applyBorder="1" applyAlignment="1">
      <alignment vertical="center" wrapText="1"/>
    </xf>
    <xf numFmtId="165" fontId="0" fillId="0" borderId="16" xfId="0" applyNumberFormat="1" applyBorder="1" applyAlignment="1">
      <alignment vertical="center" wrapText="1"/>
    </xf>
    <xf numFmtId="165" fontId="0" fillId="0" borderId="0" xfId="0" applyNumberFormat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5" fontId="0" fillId="0" borderId="0" xfId="0" applyNumberFormat="1" applyAlignment="1">
      <alignment horizontal="left" vertical="top"/>
    </xf>
    <xf numFmtId="165" fontId="1" fillId="0" borderId="6" xfId="0" applyNumberFormat="1" applyFont="1" applyBorder="1" applyAlignment="1">
      <alignment horizontal="center" vertical="top" wrapText="1"/>
    </xf>
    <xf numFmtId="165" fontId="0" fillId="0" borderId="3" xfId="0" applyNumberFormat="1" applyBorder="1" applyAlignment="1">
      <alignment horizontal="left" vertical="top" wrapText="1"/>
    </xf>
    <xf numFmtId="165" fontId="0" fillId="0" borderId="9" xfId="0" applyNumberFormat="1" applyBorder="1" applyAlignment="1">
      <alignment horizontal="left" vertical="top" wrapText="1"/>
    </xf>
    <xf numFmtId="165" fontId="0" fillId="0" borderId="0" xfId="0" applyNumberFormat="1" applyAlignment="1">
      <alignment horizontal="left" vertical="center"/>
    </xf>
    <xf numFmtId="165" fontId="1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4" borderId="2" xfId="0" applyFont="1" applyFill="1" applyBorder="1"/>
    <xf numFmtId="164" fontId="0" fillId="0" borderId="3" xfId="0" applyNumberFormat="1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right" vertical="center" wrapText="1"/>
    </xf>
    <xf numFmtId="165" fontId="0" fillId="0" borderId="3" xfId="0" applyNumberFormat="1" applyBorder="1"/>
    <xf numFmtId="164" fontId="0" fillId="0" borderId="3" xfId="0" applyNumberFormat="1" applyBorder="1" applyAlignment="1">
      <alignment horizontal="right" vertical="center" wrapText="1"/>
    </xf>
    <xf numFmtId="0" fontId="0" fillId="0" borderId="7" xfId="0" applyBorder="1" applyAlignment="1">
      <alignment horizontal="left" vertical="center" wrapText="1"/>
    </xf>
    <xf numFmtId="164" fontId="0" fillId="0" borderId="9" xfId="0" applyNumberFormat="1" applyBorder="1" applyAlignment="1">
      <alignment horizontal="right" vertical="center" wrapText="1"/>
    </xf>
    <xf numFmtId="0" fontId="0" fillId="0" borderId="14" xfId="0" applyBorder="1"/>
    <xf numFmtId="0" fontId="0" fillId="3" borderId="2" xfId="0" applyFont="1" applyFill="1" applyBorder="1"/>
    <xf numFmtId="164" fontId="0" fillId="0" borderId="3" xfId="0" applyNumberFormat="1" applyBorder="1" applyAlignment="1">
      <alignment vertical="center" wrapText="1"/>
    </xf>
    <xf numFmtId="0" fontId="0" fillId="3" borderId="21" xfId="0" applyFont="1" applyFill="1" applyBorder="1" applyAlignment="1">
      <alignment horizontal="center"/>
    </xf>
    <xf numFmtId="0" fontId="0" fillId="3" borderId="22" xfId="0" applyFont="1" applyFill="1" applyBorder="1" applyAlignment="1">
      <alignment horizontal="center"/>
    </xf>
    <xf numFmtId="0" fontId="0" fillId="3" borderId="23" xfId="0" applyFont="1" applyFill="1" applyBorder="1" applyAlignment="1">
      <alignment horizontal="center"/>
    </xf>
    <xf numFmtId="0" fontId="0" fillId="2" borderId="13" xfId="0" applyFill="1" applyBorder="1"/>
    <xf numFmtId="0" fontId="0" fillId="5" borderId="13" xfId="0" applyFont="1" applyFill="1" applyBorder="1"/>
    <xf numFmtId="0" fontId="0" fillId="2" borderId="13" xfId="0" applyFont="1" applyFill="1" applyBorder="1"/>
    <xf numFmtId="0" fontId="0" fillId="2" borderId="15" xfId="0" applyFont="1" applyFill="1" applyBorder="1"/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64" fontId="0" fillId="0" borderId="0" xfId="0" applyNumberFormat="1" applyBorder="1"/>
    <xf numFmtId="0" fontId="0" fillId="0" borderId="0" xfId="0" applyBorder="1" applyAlignment="1">
      <alignment horizontal="right" vertical="center" wrapText="1"/>
    </xf>
    <xf numFmtId="165" fontId="0" fillId="0" borderId="0" xfId="0" applyNumberFormat="1" applyBorder="1"/>
    <xf numFmtId="164" fontId="0" fillId="0" borderId="0" xfId="0" applyNumberFormat="1" applyBorder="1" applyAlignment="1">
      <alignment horizontal="right" vertical="center" wrapText="1"/>
    </xf>
    <xf numFmtId="164" fontId="0" fillId="0" borderId="0" xfId="0" applyNumberFormat="1" applyBorder="1" applyAlignment="1">
      <alignment vertical="center" wrapText="1"/>
    </xf>
    <xf numFmtId="164" fontId="0" fillId="3" borderId="24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0" fillId="0" borderId="20" xfId="0" applyBorder="1" applyAlignment="1"/>
    <xf numFmtId="0" fontId="0" fillId="0" borderId="16" xfId="0" applyBorder="1"/>
  </cellXfs>
  <cellStyles count="2">
    <cellStyle name="Millares" xfId="1" builtinId="3"/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[$$-240A]\ * #,##0.00_-;\-[$$-240A]\ * #,##0.00_-;_-[$$-240A]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[$$-240A]\ * #,##0.00_-;\-[$$-240A]\ * #,##0.00_-;_-[$$-240A]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[$$-240A]\ * #,##0.00_-;\-[$$-240A]\ * #,##0.00_-;_-[$$-240A]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[$$-240A]\ * #,##0.00_-;\-[$$-240A]\ * #,##0.00_-;_-[$$-240A]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_-[$$-240A]\ * #,##0_-;\-[$$-240A]\ * #,##0_-;_-[$$-240A]\ * &quot;-&quot;??_-;_-@_-"/>
      <alignment horizontal="general" vertical="center" textRotation="0" wrapText="1" indent="0" justifyLastLine="0" shrinkToFit="0" readingOrder="0"/>
    </dxf>
    <dxf>
      <numFmt numFmtId="165" formatCode="_-[$$-240A]\ * #,##0_-;\-[$$-240A]\ * #,##0_-;_-[$$-240A]\ * &quot;-&quot;??_-;_-@_-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_-[$$-240A]\ * #,##0_-;\-[$$-240A]\ * #,##0_-;_-[$$-240A]\ * &quot;-&quot;??_-;_-@_-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41B42D-CDC8-4108-90F6-1DE69A655878}" name="Tabla410" displayName="Tabla410" ref="B9:C15" totalsRowShown="0" headerRowDxfId="18" headerRowBorderDxfId="22" tableBorderDxfId="23" totalsRowBorderDxfId="21">
  <autoFilter ref="B9:C15" xr:uid="{5741B42D-CDC8-4108-90F6-1DE69A655878}"/>
  <tableColumns count="2">
    <tableColumn id="1" xr3:uid="{E92B9558-BA0E-4D64-8542-12DD024C8043}" name="Concepto" dataDxfId="20"/>
    <tableColumn id="2" xr3:uid="{8851DFA3-212D-491C-91A7-C7C20F1707B8}" name="Valor" dataDxfId="1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A0E5314-895C-4C9A-9A33-0B2B25A668B4}" name="Tabla4611" displayName="Tabla4611" ref="B17:C23" totalsRowShown="0" headerRowDxfId="0" headerRowBorderDxfId="4" tableBorderDxfId="5" totalsRowBorderDxfId="3">
  <autoFilter ref="B17:C23" xr:uid="{0A0E5314-895C-4C9A-9A33-0B2B25A668B4}"/>
  <tableColumns count="2">
    <tableColumn id="1" xr3:uid="{F2B70788-3621-49CF-95D5-6199C2D91744}" name="Concepto" dataDxfId="2"/>
    <tableColumn id="2" xr3:uid="{D7BB54E9-3E44-4F87-B1BD-EB18A796F884}" name="Valor" dataDxfId="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8576B5-BDC3-4437-ABB1-95052E3F828C}" name="Tabla4812" displayName="Tabla4812" ref="B25:C31" totalsRowShown="0" headerRowDxfId="6" headerRowBorderDxfId="10" tableBorderDxfId="11" totalsRowBorderDxfId="9">
  <autoFilter ref="B25:C31" xr:uid="{DD8576B5-BDC3-4437-ABB1-95052E3F828C}"/>
  <tableColumns count="2">
    <tableColumn id="1" xr3:uid="{FD5C9B93-C029-4DC6-BC3A-A21E1D7681DA}" name="Concepto" dataDxfId="8"/>
    <tableColumn id="2" xr3:uid="{9B141DC3-060F-4B05-93BB-A0C0D1ED8431}" name="Valor" dataDxfId="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ECDE91C-8104-4186-B165-D02FFF5FFE25}" name="Tabla4913" displayName="Tabla4913" ref="B33:C39" totalsRowShown="0" headerRowDxfId="12" headerRowBorderDxfId="16" tableBorderDxfId="17" totalsRowBorderDxfId="15">
  <autoFilter ref="B33:C39" xr:uid="{7ECDE91C-8104-4186-B165-D02FFF5FFE25}"/>
  <tableColumns count="2">
    <tableColumn id="1" xr3:uid="{C457AEB7-D5AE-46CD-96C0-59F8C1177259}" name="Concepto" dataDxfId="14"/>
    <tableColumn id="2" xr3:uid="{FFFBAA01-81EF-43AF-906B-1897360B8FE5}" name="Valor" dataDxfId="13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F95F23-BE9F-4356-9A8D-6942ABC7C73A}" name="Tabla3" displayName="Tabla3" ref="B2:G10" totalsRowShown="0" headerRowDxfId="37" dataDxfId="36">
  <autoFilter ref="B2:G10" xr:uid="{C4F95F23-BE9F-4356-9A8D-6942ABC7C73A}"/>
  <tableColumns count="6">
    <tableColumn id="1" xr3:uid="{71965BB9-5C68-4904-9229-4D3A1AC66DFC}" name="ID" dataDxfId="24"/>
    <tableColumn id="2" xr3:uid="{084B4B35-4D55-49A6-AF4E-B09D63134F2B}" name="Tarea" dataDxfId="25"/>
    <tableColumn id="3" xr3:uid="{A240D6BA-1B5C-41E3-BF2B-755DDFCB3C36}" name="Fase" dataDxfId="35"/>
    <tableColumn id="4" xr3:uid="{ED811CF4-C430-47A6-960F-4B9A5D327148}" name="Horas estimadas" dataDxfId="28"/>
    <tableColumn id="5" xr3:uid="{47C57152-A6EB-4249-B7B7-A76F939E0198}" name="Tarifa hora" dataDxfId="27" dataCellStyle="Millares"/>
    <tableColumn id="6" xr3:uid="{D31B676D-D444-4E2E-8DDA-8880CF45F3F9}" name="Costo" dataDxfId="26" dataCellStyle="Millares">
      <calculatedColumnFormula>E3*F3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C0C33-2B67-4536-AD93-6AE14C6D86EA}" name="Tabla1" displayName="Tabla1" ref="B3:D8" totalsRowShown="0" headerRowBorderDxfId="34" tableBorderDxfId="33" totalsRowBorderDxfId="32">
  <autoFilter ref="B3:D8" xr:uid="{A2AC0C33-2B67-4536-AD93-6AE14C6D86EA}"/>
  <tableColumns count="3">
    <tableColumn id="1" xr3:uid="{DCDFF22A-A6A9-4ACC-80B8-F31F18723EA6}" name="Fase" dataDxfId="31"/>
    <tableColumn id="2" xr3:uid="{7B6F93FD-F67E-458F-8B98-F1EED99E1183}" name="Descripción" dataDxfId="30"/>
    <tableColumn id="3" xr3:uid="{4DF75085-883B-4EE1-BD8F-AD7C4BFEC0B4}" name="Costo" dataDxfId="29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B7E65B-645F-46BB-B16A-5A8567065AD8}" name="Tabla2" displayName="Tabla2" ref="B3:F11" totalsRowShown="0">
  <autoFilter ref="B3:F11" xr:uid="{EFB7E65B-645F-46BB-B16A-5A8567065AD8}"/>
  <tableColumns count="5">
    <tableColumn id="1" xr3:uid="{B853C659-3142-40B9-B51C-6111FF3FE857}" name="Fase"/>
    <tableColumn id="2" xr3:uid="{4B8188E2-E15B-4FF7-AF74-941EB5FE0D2C}" name="Tarea"/>
    <tableColumn id="3" xr3:uid="{93ED109F-B35B-4FFD-A227-077A447FD767}" name="Horas"/>
    <tableColumn id="4" xr3:uid="{AA36549F-E44B-4285-9EAC-6EDC921F5369}" name="Inicio"/>
    <tableColumn id="5" xr3:uid="{0D95E06F-3196-46C1-9577-F5DC787F03F6}" name="Fi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AEDE-0285-4021-B400-4D4CFC39C06B}">
  <dimension ref="B1:Q39"/>
  <sheetViews>
    <sheetView tabSelected="1" topLeftCell="C1" zoomScale="95" zoomScaleNormal="95" workbookViewId="0">
      <selection activeCell="G17" sqref="G17"/>
    </sheetView>
  </sheetViews>
  <sheetFormatPr baseColWidth="10" defaultRowHeight="15" x14ac:dyDescent="0.25"/>
  <cols>
    <col min="1" max="1" width="5" customWidth="1"/>
    <col min="2" max="2" width="31.85546875" customWidth="1"/>
    <col min="3" max="3" width="23.140625" style="8" bestFit="1" customWidth="1"/>
    <col min="4" max="4" width="21.42578125" style="8" customWidth="1"/>
    <col min="5" max="5" width="13" bestFit="1" customWidth="1"/>
    <col min="6" max="6" width="21" bestFit="1" customWidth="1"/>
    <col min="7" max="7" width="14.42578125" bestFit="1" customWidth="1"/>
    <col min="8" max="8" width="13.85546875" bestFit="1" customWidth="1"/>
    <col min="9" max="9" width="17.85546875" bestFit="1" customWidth="1"/>
    <col min="10" max="10" width="25" bestFit="1" customWidth="1"/>
    <col min="11" max="11" width="19.7109375" bestFit="1" customWidth="1"/>
    <col min="12" max="12" width="27.7109375" bestFit="1" customWidth="1"/>
    <col min="13" max="13" width="11.140625" style="25" bestFit="1" customWidth="1"/>
    <col min="14" max="14" width="11.5703125" style="25" bestFit="1" customWidth="1"/>
    <col min="15" max="15" width="13.42578125" bestFit="1" customWidth="1"/>
    <col min="16" max="16" width="18.140625" bestFit="1" customWidth="1"/>
    <col min="17" max="17" width="22.140625" bestFit="1" customWidth="1"/>
  </cols>
  <sheetData>
    <row r="1" spans="2:17" ht="15.75" thickBot="1" x14ac:dyDescent="0.3"/>
    <row r="2" spans="2:17" x14ac:dyDescent="0.25">
      <c r="B2" s="37" t="s">
        <v>51</v>
      </c>
      <c r="C2" s="39" t="s">
        <v>70</v>
      </c>
      <c r="D2" s="81" t="s">
        <v>68</v>
      </c>
      <c r="E2" s="36" t="s">
        <v>48</v>
      </c>
      <c r="F2" s="36"/>
      <c r="G2" s="36"/>
      <c r="H2" s="36" t="s">
        <v>49</v>
      </c>
      <c r="I2" s="36"/>
      <c r="J2" s="36"/>
      <c r="K2" s="36"/>
      <c r="L2" s="64" t="s">
        <v>50</v>
      </c>
      <c r="M2" s="65"/>
      <c r="N2" s="66"/>
      <c r="O2" s="34" t="s">
        <v>56</v>
      </c>
      <c r="P2" s="41" t="s">
        <v>59</v>
      </c>
      <c r="Q2" s="83"/>
    </row>
    <row r="3" spans="2:17" s="5" customFormat="1" x14ac:dyDescent="0.25">
      <c r="B3" s="38"/>
      <c r="C3" s="40"/>
      <c r="D3" s="82"/>
      <c r="E3" s="18" t="s">
        <v>52</v>
      </c>
      <c r="F3" s="18" t="s">
        <v>53</v>
      </c>
      <c r="G3" s="18" t="s">
        <v>54</v>
      </c>
      <c r="H3" s="18" t="s">
        <v>63</v>
      </c>
      <c r="I3" s="18" t="s">
        <v>64</v>
      </c>
      <c r="J3" s="18" t="s">
        <v>65</v>
      </c>
      <c r="K3" s="18" t="s">
        <v>66</v>
      </c>
      <c r="L3" s="18" t="s">
        <v>55</v>
      </c>
      <c r="M3" s="33" t="s">
        <v>57</v>
      </c>
      <c r="N3" s="33" t="s">
        <v>58</v>
      </c>
      <c r="O3" s="35"/>
      <c r="P3" s="42"/>
      <c r="Q3" s="83"/>
    </row>
    <row r="4" spans="2:17" x14ac:dyDescent="0.25">
      <c r="B4" s="19" t="s">
        <v>26</v>
      </c>
      <c r="C4" s="21">
        <v>3200000</v>
      </c>
      <c r="D4" s="21" t="s">
        <v>69</v>
      </c>
      <c r="E4" s="26">
        <v>384000</v>
      </c>
      <c r="F4" s="26">
        <v>272000</v>
      </c>
      <c r="G4" s="30">
        <v>16704</v>
      </c>
      <c r="H4" s="30">
        <v>266560</v>
      </c>
      <c r="I4" s="26">
        <v>266560</v>
      </c>
      <c r="J4" s="26">
        <f>C4*0.01</f>
        <v>32000</v>
      </c>
      <c r="K4" s="26">
        <v>133440</v>
      </c>
      <c r="L4" s="26">
        <v>128000</v>
      </c>
      <c r="M4" s="26">
        <f>C4*0.03</f>
        <v>96000</v>
      </c>
      <c r="N4" s="26">
        <f>C4*0.02</f>
        <v>64000</v>
      </c>
      <c r="O4" s="26">
        <f>SUM(C4:N4)</f>
        <v>4859264</v>
      </c>
      <c r="P4" s="27">
        <f>O4/160</f>
        <v>30370.400000000001</v>
      </c>
    </row>
    <row r="5" spans="2:17" x14ac:dyDescent="0.25">
      <c r="B5" s="20" t="s">
        <v>27</v>
      </c>
      <c r="C5" s="22">
        <v>3000000</v>
      </c>
      <c r="D5" s="22" t="s">
        <v>69</v>
      </c>
      <c r="E5" s="26">
        <v>360000</v>
      </c>
      <c r="F5" s="26">
        <v>255000</v>
      </c>
      <c r="G5" s="26">
        <v>15660</v>
      </c>
      <c r="H5" s="26">
        <v>249900</v>
      </c>
      <c r="I5" s="26">
        <v>249900</v>
      </c>
      <c r="J5" s="26">
        <f>C5*0.01</f>
        <v>30000</v>
      </c>
      <c r="K5" s="26">
        <v>125100</v>
      </c>
      <c r="L5" s="26">
        <v>120000</v>
      </c>
      <c r="M5" s="26">
        <f t="shared" ref="M5:M7" si="0">C5*0.03</f>
        <v>90000</v>
      </c>
      <c r="N5" s="26">
        <f>C5*0.02</f>
        <v>60000</v>
      </c>
      <c r="O5" s="26">
        <f t="shared" ref="O5:O7" si="1">SUM(C5:N5)</f>
        <v>4555560</v>
      </c>
      <c r="P5" s="27">
        <f t="shared" ref="P5:P7" si="2">O5/160</f>
        <v>28472.25</v>
      </c>
    </row>
    <row r="6" spans="2:17" x14ac:dyDescent="0.25">
      <c r="B6" s="19" t="s">
        <v>28</v>
      </c>
      <c r="C6" s="21">
        <v>8000000</v>
      </c>
      <c r="D6" s="21" t="s">
        <v>69</v>
      </c>
      <c r="E6" s="26">
        <v>960000</v>
      </c>
      <c r="F6" s="26">
        <v>680000</v>
      </c>
      <c r="G6" s="26">
        <v>41760</v>
      </c>
      <c r="H6" s="26">
        <v>666400</v>
      </c>
      <c r="I6" s="26">
        <v>666400</v>
      </c>
      <c r="J6" s="26">
        <f t="shared" ref="J6:J7" si="3">C6*0.01</f>
        <v>80000</v>
      </c>
      <c r="K6" s="26">
        <v>333600</v>
      </c>
      <c r="L6" s="26">
        <v>320000</v>
      </c>
      <c r="M6" s="26">
        <f t="shared" si="0"/>
        <v>240000</v>
      </c>
      <c r="N6" s="26">
        <f t="shared" ref="N6:N7" si="4">C6*0.02</f>
        <v>160000</v>
      </c>
      <c r="O6" s="26">
        <f t="shared" si="1"/>
        <v>12148160</v>
      </c>
      <c r="P6" s="27">
        <f t="shared" si="2"/>
        <v>75926</v>
      </c>
    </row>
    <row r="7" spans="2:17" ht="15.75" thickBot="1" x14ac:dyDescent="0.3">
      <c r="B7" s="23" t="s">
        <v>29</v>
      </c>
      <c r="C7" s="24">
        <v>2800000</v>
      </c>
      <c r="D7" s="84" t="s">
        <v>67</v>
      </c>
      <c r="E7" s="28"/>
      <c r="F7" s="28"/>
      <c r="G7" s="28"/>
      <c r="H7" s="31"/>
      <c r="I7" s="28"/>
      <c r="J7" s="28"/>
      <c r="K7" s="28"/>
      <c r="L7" s="28"/>
      <c r="M7" s="28"/>
      <c r="N7" s="28"/>
      <c r="O7" s="28">
        <f t="shared" si="1"/>
        <v>2800000</v>
      </c>
      <c r="P7" s="29">
        <f t="shared" si="2"/>
        <v>17500</v>
      </c>
    </row>
    <row r="9" spans="2:17" ht="15.75" thickBot="1" x14ac:dyDescent="0.3">
      <c r="B9" s="51" t="s">
        <v>0</v>
      </c>
      <c r="C9" s="52" t="s">
        <v>1</v>
      </c>
      <c r="D9" s="75"/>
    </row>
    <row r="10" spans="2:17" x14ac:dyDescent="0.25">
      <c r="B10" s="53" t="s">
        <v>26</v>
      </c>
      <c r="C10" s="54">
        <v>3200000</v>
      </c>
      <c r="D10" s="76"/>
      <c r="F10" s="71" t="s">
        <v>62</v>
      </c>
      <c r="G10" s="72"/>
    </row>
    <row r="11" spans="2:17" x14ac:dyDescent="0.25">
      <c r="B11" s="55" t="s">
        <v>3</v>
      </c>
      <c r="C11" s="56">
        <v>160</v>
      </c>
      <c r="D11" s="77"/>
      <c r="E11" s="5"/>
      <c r="F11" s="73"/>
      <c r="G11" s="74"/>
      <c r="H11" s="5"/>
      <c r="I11" s="5"/>
      <c r="J11" s="5"/>
      <c r="K11" s="5"/>
      <c r="L11" s="5"/>
      <c r="M11" s="32"/>
      <c r="N11" s="32"/>
    </row>
    <row r="12" spans="2:17" x14ac:dyDescent="0.25">
      <c r="B12" s="55" t="s">
        <v>4</v>
      </c>
      <c r="C12" s="57">
        <f>C10/160</f>
        <v>20000</v>
      </c>
      <c r="D12" s="78"/>
      <c r="F12" s="67" t="s">
        <v>60</v>
      </c>
      <c r="G12" s="61" t="s">
        <v>61</v>
      </c>
    </row>
    <row r="13" spans="2:17" x14ac:dyDescent="0.25">
      <c r="B13" s="55" t="s">
        <v>5</v>
      </c>
      <c r="C13" s="58"/>
      <c r="D13" s="79"/>
      <c r="F13" s="68" t="s">
        <v>26</v>
      </c>
      <c r="G13" s="27">
        <f>O4*12</f>
        <v>58311168</v>
      </c>
    </row>
    <row r="14" spans="2:17" x14ac:dyDescent="0.25">
      <c r="B14" s="55" t="s">
        <v>6</v>
      </c>
      <c r="C14" s="56"/>
      <c r="D14" s="77"/>
      <c r="F14" s="69" t="s">
        <v>27</v>
      </c>
      <c r="G14" s="27">
        <f t="shared" ref="G14:G16" si="5">O5*12</f>
        <v>54666720</v>
      </c>
    </row>
    <row r="15" spans="2:17" x14ac:dyDescent="0.25">
      <c r="B15" s="59" t="s">
        <v>7</v>
      </c>
      <c r="C15" s="60"/>
      <c r="D15" s="79"/>
      <c r="F15" s="68" t="s">
        <v>28</v>
      </c>
      <c r="G15" s="27">
        <f t="shared" si="5"/>
        <v>145777920</v>
      </c>
    </row>
    <row r="16" spans="2:17" ht="15.75" thickBot="1" x14ac:dyDescent="0.3">
      <c r="B16" s="6"/>
      <c r="C16" s="7"/>
      <c r="D16" s="7"/>
      <c r="F16" s="70" t="s">
        <v>29</v>
      </c>
      <c r="G16" s="29">
        <f>O7</f>
        <v>2800000</v>
      </c>
    </row>
    <row r="17" spans="2:4" x14ac:dyDescent="0.25">
      <c r="B17" s="51" t="s">
        <v>0</v>
      </c>
      <c r="C17" s="52" t="s">
        <v>1</v>
      </c>
      <c r="D17" s="75"/>
    </row>
    <row r="18" spans="2:4" x14ac:dyDescent="0.25">
      <c r="B18" s="55" t="s">
        <v>2</v>
      </c>
      <c r="C18" s="58">
        <v>3000000</v>
      </c>
      <c r="D18" s="79"/>
    </row>
    <row r="19" spans="2:4" x14ac:dyDescent="0.25">
      <c r="B19" s="55" t="s">
        <v>3</v>
      </c>
      <c r="C19" s="56">
        <v>160</v>
      </c>
      <c r="D19" s="77"/>
    </row>
    <row r="20" spans="2:4" x14ac:dyDescent="0.25">
      <c r="B20" s="55" t="s">
        <v>4</v>
      </c>
      <c r="C20" s="58">
        <f>C18/C19</f>
        <v>18750</v>
      </c>
      <c r="D20" s="79"/>
    </row>
    <row r="21" spans="2:4" x14ac:dyDescent="0.25">
      <c r="B21" s="55" t="s">
        <v>5</v>
      </c>
      <c r="C21" s="58"/>
      <c r="D21" s="79"/>
    </row>
    <row r="22" spans="2:4" x14ac:dyDescent="0.25">
      <c r="B22" s="55" t="s">
        <v>6</v>
      </c>
      <c r="C22" s="56"/>
      <c r="D22" s="77"/>
    </row>
    <row r="23" spans="2:4" x14ac:dyDescent="0.25">
      <c r="B23" s="59" t="s">
        <v>7</v>
      </c>
      <c r="C23" s="60"/>
      <c r="D23" s="79"/>
    </row>
    <row r="24" spans="2:4" x14ac:dyDescent="0.25">
      <c r="B24" s="6"/>
      <c r="C24" s="7"/>
      <c r="D24" s="7"/>
    </row>
    <row r="25" spans="2:4" x14ac:dyDescent="0.25">
      <c r="B25" s="51" t="s">
        <v>0</v>
      </c>
      <c r="C25" s="52" t="s">
        <v>1</v>
      </c>
      <c r="D25" s="75"/>
    </row>
    <row r="26" spans="2:4" x14ac:dyDescent="0.25">
      <c r="B26" s="53" t="s">
        <v>28</v>
      </c>
      <c r="C26" s="54">
        <v>8000000</v>
      </c>
      <c r="D26" s="76"/>
    </row>
    <row r="27" spans="2:4" x14ac:dyDescent="0.25">
      <c r="B27" s="55" t="s">
        <v>3</v>
      </c>
      <c r="C27" s="56">
        <v>160</v>
      </c>
      <c r="D27" s="77"/>
    </row>
    <row r="28" spans="2:4" x14ac:dyDescent="0.25">
      <c r="B28" s="55" t="s">
        <v>4</v>
      </c>
      <c r="C28" s="58">
        <f>C26/160</f>
        <v>50000</v>
      </c>
      <c r="D28" s="79"/>
    </row>
    <row r="29" spans="2:4" x14ac:dyDescent="0.25">
      <c r="B29" s="55" t="s">
        <v>5</v>
      </c>
      <c r="C29" s="58"/>
      <c r="D29" s="79"/>
    </row>
    <row r="30" spans="2:4" x14ac:dyDescent="0.25">
      <c r="B30" s="55" t="s">
        <v>6</v>
      </c>
      <c r="C30" s="56"/>
      <c r="D30" s="77"/>
    </row>
    <row r="31" spans="2:4" x14ac:dyDescent="0.25">
      <c r="B31" s="59" t="s">
        <v>7</v>
      </c>
      <c r="C31" s="60"/>
      <c r="D31" s="79"/>
    </row>
    <row r="32" spans="2:4" x14ac:dyDescent="0.25">
      <c r="B32" s="6"/>
      <c r="C32" s="7"/>
      <c r="D32" s="7"/>
    </row>
    <row r="33" spans="2:4" x14ac:dyDescent="0.25">
      <c r="B33" s="51" t="s">
        <v>0</v>
      </c>
      <c r="C33" s="52" t="s">
        <v>1</v>
      </c>
      <c r="D33" s="75"/>
    </row>
    <row r="34" spans="2:4" x14ac:dyDescent="0.25">
      <c r="B34" s="62" t="s">
        <v>29</v>
      </c>
      <c r="C34" s="63">
        <v>2800000</v>
      </c>
      <c r="D34" s="80"/>
    </row>
    <row r="35" spans="2:4" x14ac:dyDescent="0.25">
      <c r="B35" s="55" t="s">
        <v>3</v>
      </c>
      <c r="C35" s="56">
        <v>160</v>
      </c>
      <c r="D35" s="77"/>
    </row>
    <row r="36" spans="2:4" x14ac:dyDescent="0.25">
      <c r="B36" s="55" t="s">
        <v>4</v>
      </c>
      <c r="C36" s="58">
        <f>C34/160</f>
        <v>17500</v>
      </c>
      <c r="D36" s="79"/>
    </row>
    <row r="37" spans="2:4" x14ac:dyDescent="0.25">
      <c r="B37" s="55" t="s">
        <v>5</v>
      </c>
      <c r="C37" s="58"/>
      <c r="D37" s="79"/>
    </row>
    <row r="38" spans="2:4" x14ac:dyDescent="0.25">
      <c r="B38" s="55" t="s">
        <v>6</v>
      </c>
      <c r="C38" s="56"/>
      <c r="D38" s="77"/>
    </row>
    <row r="39" spans="2:4" x14ac:dyDescent="0.25">
      <c r="B39" s="59" t="s">
        <v>7</v>
      </c>
      <c r="C39" s="60"/>
      <c r="D39" s="79"/>
    </row>
  </sheetData>
  <mergeCells count="9">
    <mergeCell ref="D2:D3"/>
    <mergeCell ref="B2:B3"/>
    <mergeCell ref="C2:C3"/>
    <mergeCell ref="F10:G11"/>
    <mergeCell ref="L2:N2"/>
    <mergeCell ref="O2:O3"/>
    <mergeCell ref="P2:P3"/>
    <mergeCell ref="E2:G2"/>
    <mergeCell ref="H2:K2"/>
  </mergeCell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F1EC-B720-46EF-8B96-415750F7DB87}">
  <dimension ref="B2:G10"/>
  <sheetViews>
    <sheetView workbookViewId="0">
      <selection activeCell="H16" sqref="H16"/>
    </sheetView>
  </sheetViews>
  <sheetFormatPr baseColWidth="10" defaultRowHeight="15" x14ac:dyDescent="0.25"/>
  <cols>
    <col min="2" max="2" width="7.42578125" style="4" bestFit="1" customWidth="1"/>
    <col min="3" max="3" width="25.140625" bestFit="1" customWidth="1"/>
    <col min="4" max="4" width="14.85546875" bestFit="1" customWidth="1"/>
    <col min="5" max="5" width="20" style="4" bestFit="1" customWidth="1"/>
    <col min="6" max="6" width="16.85546875" style="50" customWidth="1"/>
    <col min="7" max="7" width="15.28515625" style="50" customWidth="1"/>
    <col min="10" max="10" width="28.140625" customWidth="1"/>
    <col min="11" max="11" width="22" customWidth="1"/>
    <col min="12" max="12" width="24" customWidth="1"/>
    <col min="13" max="13" width="14.7109375" customWidth="1"/>
    <col min="14" max="14" width="18.7109375" customWidth="1"/>
  </cols>
  <sheetData>
    <row r="2" spans="2:7" x14ac:dyDescent="0.25">
      <c r="B2" s="2" t="s">
        <v>8</v>
      </c>
      <c r="C2" s="2" t="s">
        <v>9</v>
      </c>
      <c r="D2" s="2" t="s">
        <v>10</v>
      </c>
      <c r="E2" s="2" t="s">
        <v>11</v>
      </c>
      <c r="F2" s="48" t="s">
        <v>12</v>
      </c>
      <c r="G2" s="48" t="s">
        <v>13</v>
      </c>
    </row>
    <row r="3" spans="2:7" x14ac:dyDescent="0.25">
      <c r="B3" s="1">
        <v>1</v>
      </c>
      <c r="C3" s="3" t="s">
        <v>14</v>
      </c>
      <c r="D3" s="3" t="s">
        <v>15</v>
      </c>
      <c r="E3" s="1">
        <v>6</v>
      </c>
      <c r="F3" s="49">
        <v>25000</v>
      </c>
      <c r="G3" s="49">
        <f t="shared" ref="G3:G10" si="0">E3*F3</f>
        <v>150000</v>
      </c>
    </row>
    <row r="4" spans="2:7" x14ac:dyDescent="0.25">
      <c r="B4" s="1">
        <v>2</v>
      </c>
      <c r="C4" s="3" t="s">
        <v>16</v>
      </c>
      <c r="D4" s="3" t="s">
        <v>17</v>
      </c>
      <c r="E4" s="1">
        <v>8</v>
      </c>
      <c r="F4" s="49">
        <v>25000</v>
      </c>
      <c r="G4" s="49">
        <f t="shared" si="0"/>
        <v>200000</v>
      </c>
    </row>
    <row r="5" spans="2:7" x14ac:dyDescent="0.25">
      <c r="B5" s="1">
        <v>3</v>
      </c>
      <c r="C5" s="3" t="s">
        <v>18</v>
      </c>
      <c r="D5" s="3" t="s">
        <v>17</v>
      </c>
      <c r="E5" s="1">
        <v>10</v>
      </c>
      <c r="F5" s="49">
        <v>25000</v>
      </c>
      <c r="G5" s="49">
        <f t="shared" si="0"/>
        <v>250000</v>
      </c>
    </row>
    <row r="6" spans="2:7" x14ac:dyDescent="0.25">
      <c r="B6" s="1">
        <v>4</v>
      </c>
      <c r="C6" s="3" t="s">
        <v>19</v>
      </c>
      <c r="D6" s="3" t="s">
        <v>20</v>
      </c>
      <c r="E6" s="1">
        <v>20</v>
      </c>
      <c r="F6" s="49">
        <v>25000</v>
      </c>
      <c r="G6" s="49">
        <f t="shared" si="0"/>
        <v>500000</v>
      </c>
    </row>
    <row r="7" spans="2:7" x14ac:dyDescent="0.25">
      <c r="B7" s="1">
        <v>5</v>
      </c>
      <c r="C7" s="3" t="s">
        <v>21</v>
      </c>
      <c r="D7" s="3" t="s">
        <v>20</v>
      </c>
      <c r="E7" s="1">
        <v>20</v>
      </c>
      <c r="F7" s="49">
        <v>25000</v>
      </c>
      <c r="G7" s="49">
        <f t="shared" si="0"/>
        <v>500000</v>
      </c>
    </row>
    <row r="8" spans="2:7" x14ac:dyDescent="0.25">
      <c r="B8" s="1">
        <v>6</v>
      </c>
      <c r="C8" s="3" t="s">
        <v>22</v>
      </c>
      <c r="D8" s="3" t="s">
        <v>20</v>
      </c>
      <c r="E8" s="1">
        <v>6</v>
      </c>
      <c r="F8" s="49">
        <v>25000</v>
      </c>
      <c r="G8" s="49">
        <f t="shared" si="0"/>
        <v>150000</v>
      </c>
    </row>
    <row r="9" spans="2:7" x14ac:dyDescent="0.25">
      <c r="B9" s="1">
        <v>7</v>
      </c>
      <c r="C9" s="3" t="s">
        <v>23</v>
      </c>
      <c r="D9" s="3" t="s">
        <v>24</v>
      </c>
      <c r="E9" s="1">
        <v>8</v>
      </c>
      <c r="F9" s="49">
        <v>25000</v>
      </c>
      <c r="G9" s="49">
        <f t="shared" si="0"/>
        <v>200000</v>
      </c>
    </row>
    <row r="10" spans="2:7" x14ac:dyDescent="0.25">
      <c r="B10" s="1">
        <v>8</v>
      </c>
      <c r="C10" s="3" t="s">
        <v>25</v>
      </c>
      <c r="D10" s="3" t="s">
        <v>25</v>
      </c>
      <c r="E10" s="1">
        <v>6</v>
      </c>
      <c r="F10" s="49">
        <v>25000</v>
      </c>
      <c r="G10" s="49">
        <f t="shared" si="0"/>
        <v>150000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6EAF-BAFA-4751-A60D-13E5CA8A5F6C}">
  <dimension ref="B1:D10"/>
  <sheetViews>
    <sheetView workbookViewId="0">
      <selection activeCell="G11" sqref="G11"/>
    </sheetView>
  </sheetViews>
  <sheetFormatPr baseColWidth="10" defaultRowHeight="15" x14ac:dyDescent="0.25"/>
  <cols>
    <col min="1" max="1" width="11.42578125" style="6"/>
    <col min="2" max="2" width="19.28515625" style="6" bestFit="1" customWidth="1"/>
    <col min="3" max="3" width="32.42578125" style="6" bestFit="1" customWidth="1"/>
    <col min="4" max="4" width="14" style="47" bestFit="1" customWidth="1"/>
    <col min="5" max="6" width="11.42578125" style="6"/>
    <col min="7" max="9" width="11.42578125" style="6" customWidth="1"/>
    <col min="10" max="16384" width="11.42578125" style="6"/>
  </cols>
  <sheetData>
    <row r="1" spans="2:4" s="10" customFormat="1" x14ac:dyDescent="0.25">
      <c r="D1" s="43"/>
    </row>
    <row r="2" spans="2:4" s="10" customFormat="1" x14ac:dyDescent="0.25">
      <c r="D2" s="43"/>
    </row>
    <row r="3" spans="2:4" s="9" customFormat="1" x14ac:dyDescent="0.25">
      <c r="B3" s="14" t="s">
        <v>10</v>
      </c>
      <c r="C3" s="15" t="s">
        <v>30</v>
      </c>
      <c r="D3" s="44" t="s">
        <v>13</v>
      </c>
    </row>
    <row r="4" spans="2:4" s="10" customFormat="1" x14ac:dyDescent="0.25">
      <c r="B4" s="13" t="s">
        <v>31</v>
      </c>
      <c r="C4" s="12" t="s">
        <v>32</v>
      </c>
      <c r="D4" s="45">
        <v>150000</v>
      </c>
    </row>
    <row r="5" spans="2:4" s="10" customFormat="1" x14ac:dyDescent="0.25">
      <c r="B5" s="13" t="s">
        <v>33</v>
      </c>
      <c r="C5" s="12" t="s">
        <v>34</v>
      </c>
      <c r="D5" s="45">
        <v>450000</v>
      </c>
    </row>
    <row r="6" spans="2:4" s="10" customFormat="1" x14ac:dyDescent="0.25">
      <c r="B6" s="13" t="s">
        <v>20</v>
      </c>
      <c r="C6" s="12" t="s">
        <v>35</v>
      </c>
      <c r="D6" s="45">
        <v>1150000</v>
      </c>
    </row>
    <row r="7" spans="2:4" s="10" customFormat="1" x14ac:dyDescent="0.25">
      <c r="B7" s="13" t="s">
        <v>24</v>
      </c>
      <c r="C7" s="12" t="s">
        <v>36</v>
      </c>
      <c r="D7" s="45">
        <v>200000</v>
      </c>
    </row>
    <row r="8" spans="2:4" s="10" customFormat="1" x14ac:dyDescent="0.25">
      <c r="B8" s="16" t="s">
        <v>25</v>
      </c>
      <c r="C8" s="17" t="s">
        <v>37</v>
      </c>
      <c r="D8" s="46">
        <v>150000</v>
      </c>
    </row>
    <row r="10" spans="2:4" x14ac:dyDescent="0.25">
      <c r="B1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4C72-A85A-4861-A24D-E3C392F56913}">
  <dimension ref="B3:F11"/>
  <sheetViews>
    <sheetView workbookViewId="0">
      <selection activeCell="G38" sqref="G38"/>
    </sheetView>
  </sheetViews>
  <sheetFormatPr baseColWidth="10" defaultRowHeight="15" x14ac:dyDescent="0.25"/>
  <cols>
    <col min="2" max="2" width="14.85546875" bestFit="1" customWidth="1"/>
    <col min="3" max="3" width="22.42578125" bestFit="1" customWidth="1"/>
    <col min="4" max="4" width="8.140625" customWidth="1"/>
    <col min="5" max="5" width="8" customWidth="1"/>
    <col min="6" max="6" width="5.85546875" customWidth="1"/>
  </cols>
  <sheetData>
    <row r="3" spans="2:6" s="11" customFormat="1" x14ac:dyDescent="0.25">
      <c r="B3" t="s">
        <v>10</v>
      </c>
      <c r="C3" t="s">
        <v>9</v>
      </c>
      <c r="D3" t="s">
        <v>38</v>
      </c>
      <c r="E3" t="s">
        <v>39</v>
      </c>
      <c r="F3" t="s">
        <v>40</v>
      </c>
    </row>
    <row r="4" spans="2:6" s="11" customFormat="1" x14ac:dyDescent="0.25">
      <c r="B4" t="s">
        <v>15</v>
      </c>
      <c r="C4" t="s">
        <v>41</v>
      </c>
      <c r="D4">
        <v>6</v>
      </c>
      <c r="E4"/>
      <c r="F4"/>
    </row>
    <row r="5" spans="2:6" s="11" customFormat="1" x14ac:dyDescent="0.25">
      <c r="B5" t="s">
        <v>17</v>
      </c>
      <c r="C5" t="s">
        <v>42</v>
      </c>
      <c r="D5">
        <v>8</v>
      </c>
      <c r="E5"/>
      <c r="F5"/>
    </row>
    <row r="6" spans="2:6" s="11" customFormat="1" x14ac:dyDescent="0.25">
      <c r="B6" t="s">
        <v>17</v>
      </c>
      <c r="C6" t="s">
        <v>43</v>
      </c>
      <c r="D6">
        <v>10</v>
      </c>
      <c r="E6"/>
      <c r="F6"/>
    </row>
    <row r="7" spans="2:6" s="11" customFormat="1" x14ac:dyDescent="0.25">
      <c r="B7" t="s">
        <v>20</v>
      </c>
      <c r="C7" t="s">
        <v>44</v>
      </c>
      <c r="D7">
        <v>20</v>
      </c>
      <c r="E7"/>
      <c r="F7"/>
    </row>
    <row r="8" spans="2:6" s="11" customFormat="1" x14ac:dyDescent="0.25">
      <c r="B8" t="s">
        <v>20</v>
      </c>
      <c r="C8" t="s">
        <v>45</v>
      </c>
      <c r="D8">
        <v>20</v>
      </c>
      <c r="E8"/>
      <c r="F8"/>
    </row>
    <row r="9" spans="2:6" s="11" customFormat="1" x14ac:dyDescent="0.25">
      <c r="B9" t="s">
        <v>20</v>
      </c>
      <c r="C9" t="s">
        <v>46</v>
      </c>
      <c r="D9">
        <v>6</v>
      </c>
      <c r="E9"/>
      <c r="F9"/>
    </row>
    <row r="10" spans="2:6" s="11" customFormat="1" x14ac:dyDescent="0.25">
      <c r="B10" t="s">
        <v>24</v>
      </c>
      <c r="C10" t="s">
        <v>47</v>
      </c>
      <c r="D10">
        <v>8</v>
      </c>
      <c r="E10"/>
      <c r="F10"/>
    </row>
    <row r="11" spans="2:6" s="11" customFormat="1" x14ac:dyDescent="0.25">
      <c r="B11" t="s">
        <v>25</v>
      </c>
      <c r="C11" t="s">
        <v>25</v>
      </c>
      <c r="D11">
        <v>6</v>
      </c>
      <c r="E11"/>
      <c r="F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Roles</vt:lpstr>
      <vt:lpstr>Estimacion por tareas</vt:lpstr>
      <vt:lpstr>Costos de fase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2026-03-16T20:39:43Z</dcterms:created>
  <dcterms:modified xsi:type="dcterms:W3CDTF">2026-03-17T20:13:11Z</dcterms:modified>
</cp:coreProperties>
</file>